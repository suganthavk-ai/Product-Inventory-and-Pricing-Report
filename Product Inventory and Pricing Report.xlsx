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DATA ANALYTICS - PDF\Assignment\Assignment 1 - Excel\"/>
    </mc:Choice>
  </mc:AlternateContent>
  <xr:revisionPtr revIDLastSave="0" documentId="13_ncr:1_{96C32F59-CDFD-46A8-9EB6-5F7299E89E8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2" i="1" l="1" a="1"/>
  <c r="J2" i="1" s="1"/>
  <c r="I2" i="1" a="1"/>
  <c r="I2" i="1" s="1"/>
  <c r="H2" i="1" a="1"/>
  <c r="H2" i="1" s="1"/>
  <c r="V14" i="1"/>
  <c r="V9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P14" i="1"/>
  <c r="P9" i="1"/>
  <c r="M20" i="1"/>
  <c r="M9" i="1"/>
  <c r="M19" i="1"/>
  <c r="M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<sst xmlns="http://schemas.openxmlformats.org/spreadsheetml/2006/main" count="189" uniqueCount="140">
  <si>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</si>
  <si>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</si>
  <si>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</si>
  <si>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</si>
  <si>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</si>
  <si>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</si>
  <si>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</si>
  <si>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</si>
  <si>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</si>
  <si>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</si>
  <si>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</si>
  <si>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</si>
  <si>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</si>
  <si>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</si>
  <si>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</si>
  <si>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</si>
  <si>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</si>
  <si>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</si>
  <si>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</si>
  <si>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</si>
  <si>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</si>
  <si>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</si>
  <si>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</si>
  <si>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</si>
  <si>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</si>
  <si>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</si>
  <si>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</si>
  <si>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</si>
  <si>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</si>
  <si>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</si>
  <si>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</si>
  <si>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</si>
  <si>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</si>
  <si>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</si>
  <si>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</si>
  <si>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</si>
  <si>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</si>
  <si>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</si>
  <si>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</si>
  <si>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</si>
  <si>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</si>
  <si>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</si>
  <si>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</si>
  <si>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</si>
  <si>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</si>
  <si>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</si>
  <si>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</si>
  <si>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</si>
  <si>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</si>
  <si>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</si>
  <si>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</si>
  <si>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</si>
  <si>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</si>
  <si>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</si>
  <si>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</si>
  <si>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</si>
  <si>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</si>
  <si>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</si>
  <si>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</si>
  <si>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</si>
  <si>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</si>
  <si>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</si>
  <si>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</si>
  <si>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</si>
  <si>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</si>
  <si>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</si>
  <si>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</si>
  <si>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</si>
  <si>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</si>
  <si>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</si>
  <si>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</si>
  <si>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</si>
  <si>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</si>
  <si>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</si>
  <si>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</si>
  <si>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</si>
  <si>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</si>
  <si>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</si>
  <si>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</si>
  <si>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</si>
  <si>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</si>
  <si>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</si>
  <si>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</si>
  <si>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</si>
  <si>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</si>
  <si>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</si>
  <si>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</si>
  <si>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</si>
  <si>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</si>
  <si>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</si>
  <si>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</si>
  <si>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</si>
  <si>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</si>
  <si>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Basic Data Exploration</t>
  </si>
  <si>
    <t>3. Logical Function – IF</t>
  </si>
  <si>
    <t>4. Conditional Functions – SUMIF and COUNTIF</t>
  </si>
  <si>
    <t>5. Text Formatting – LEFT, RIGHT, MID</t>
  </si>
  <si>
    <t>Create the following new columns:</t>
  </si>
  <si>
    <t>Formula =SUM(D2:D35)</t>
  </si>
  <si>
    <t>Total Price of all Product</t>
  </si>
  <si>
    <t>A. Calculate the total price of all products in the dataset.</t>
  </si>
  <si>
    <t>1. Sum, Count, and Average</t>
  </si>
  <si>
    <t>B. Determine how many products exist in the dataset.</t>
  </si>
  <si>
    <t>Formula =COUNT(E2:E35)</t>
  </si>
  <si>
    <t>No. of product exist</t>
  </si>
  <si>
    <t>C. Calculate the average price of the products.</t>
  </si>
  <si>
    <t>Formula a. =AVERAGE(D2:D35) b.=SUM(D2:D35)/34</t>
  </si>
  <si>
    <t>2. Minimum and Maximum Values</t>
  </si>
  <si>
    <t>B. Identify the maximum price among all products.</t>
  </si>
  <si>
    <t>A. Identify the minimum price among all products.</t>
  </si>
  <si>
    <t>Formula =MIN(D2:D35)</t>
  </si>
  <si>
    <t>Formula =MAX(D2:D35)</t>
  </si>
  <si>
    <t>The maximum price among all products</t>
  </si>
  <si>
    <t>The minimum price among all products</t>
  </si>
  <si>
    <t>The average price of the products</t>
  </si>
  <si>
    <t>Price Range</t>
  </si>
  <si>
    <t>A. Use the IF function to categorize products based on their price:</t>
  </si>
  <si>
    <t>2 If Price &lt; $500 → classify as Standard Price</t>
  </si>
  <si>
    <t>1. If Price ≥$500 → classify as High Price</t>
  </si>
  <si>
    <t>Formula =IF(D2&gt;=$500,"High Price","Standard Price")</t>
  </si>
  <si>
    <t>There are 8 high price products in the list</t>
  </si>
  <si>
    <t>Formula =SUMIF(F2:F35,"Electronics",D2:D35)</t>
  </si>
  <si>
    <t xml:space="preserve"> The total price of products in the Electronics category</t>
  </si>
  <si>
    <t>Formula =COUNTIF(D2:D35,"&gt;100")</t>
  </si>
  <si>
    <t>DAY</t>
  </si>
  <si>
    <t>COUNTRY CODE</t>
  </si>
  <si>
    <t>MONTH</t>
  </si>
  <si>
    <t>B. Create a new column named Country Code by extracting the last 2
characters from the 'Product ID' column using the RIGHT function.</t>
  </si>
  <si>
    <t>A. Create a new column named Day with the first 2 characters of each
'Product ID' using the LEFT function.</t>
  </si>
  <si>
    <t>C. Create a new column named Month by extracting the 4th to 6th
characters from the 'Product ID' column using the MID function.</t>
  </si>
  <si>
    <t>Formula =MID(D2:D35,4,3)</t>
  </si>
  <si>
    <t>1. Use text functions to extract information from the Product ID column.</t>
  </si>
  <si>
    <t>A. Use the SUMIF function to calculate the total price of products in the Electronics category.</t>
  </si>
  <si>
    <t>B. Use the COUNTIF function to determine the number of products with a price less than $100.</t>
  </si>
  <si>
    <t>The number of products with a price less than $100.</t>
  </si>
  <si>
    <r>
      <t xml:space="preserve">A new column named </t>
    </r>
    <r>
      <rPr>
        <b/>
        <sz val="12"/>
        <color rgb="FF000000"/>
        <rFont val="Arial"/>
        <family val="2"/>
        <scheme val="minor"/>
      </rPr>
      <t xml:space="preserve">Day </t>
    </r>
    <r>
      <rPr>
        <sz val="12"/>
        <color rgb="FF000000"/>
        <rFont val="Arial"/>
        <family val="2"/>
        <scheme val="minor"/>
      </rPr>
      <t xml:space="preserve">is CREATED </t>
    </r>
  </si>
  <si>
    <r>
      <t xml:space="preserve">A new column named </t>
    </r>
    <r>
      <rPr>
        <b/>
        <sz val="12"/>
        <color rgb="FF000000"/>
        <rFont val="Arial"/>
        <family val="2"/>
        <scheme val="minor"/>
      </rPr>
      <t>Country Code</t>
    </r>
    <r>
      <rPr>
        <sz val="12"/>
        <color rgb="FF000000"/>
        <rFont val="Arial"/>
        <family val="2"/>
        <scheme val="minor"/>
      </rPr>
      <t xml:space="preserve"> is CREATED </t>
    </r>
  </si>
  <si>
    <r>
      <t xml:space="preserve">A new column named </t>
    </r>
    <r>
      <rPr>
        <b/>
        <sz val="12"/>
        <color rgb="FF000000"/>
        <rFont val="Arial"/>
        <family val="2"/>
        <scheme val="minor"/>
      </rPr>
      <t>Month is CREATED</t>
    </r>
  </si>
  <si>
    <t>Formula =LEFT(A2:A35, 2)</t>
  </si>
  <si>
    <t>Formula =RIGHT(A2:A35,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</si>
</sst>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[$-F800]dddd\,\ mmmm\ dd\,\ yyyy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4"/>
      <color rgb="FF000000"/>
      <name val="Arial"/>
      <family val="2"/>
      <scheme val="minor"/>
    </font>
    <font>
      <b/>
      <sz val="12"/>
      <color theme="4" tint="-0.249977111117893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7" tint="-0.249977111117893"/>
      <name val="Arial"/>
      <family val="2"/>
      <scheme val="minor"/>
    </font>
    <font>
      <sz val="12"/>
      <color theme="7" tint="-0.24997711111789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 applyAlignmen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 applyFont="1" applyAlignment="1"/>
    <xf numFmtId="2" fontId="1" fillId="2" borderId="0" xfId="0" applyNumberFormat="1" applyFont="1" applyFill="1" applyAlignment="1">
      <alignment horizontal="center"/>
    </xf>
    <xf numFmtId="2" fontId="2" fillId="0" borderId="0" xfId="0" applyNumberFormat="1" applyFont="1"/>
    <xf numFmtId="2" fontId="2" fillId="3" borderId="0" xfId="0" applyNumberFormat="1" applyFont="1" applyFill="1"/>
    <xf numFmtId="2" fontId="0" fillId="0" borderId="0" xfId="0" applyNumberFormat="1" applyFont="1" applyAlignme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2" fillId="3" borderId="0" xfId="0" applyNumberFormat="1" applyFont="1" applyFill="1"/>
    <xf numFmtId="1" fontId="0" fillId="0" borderId="0" xfId="0" applyNumberFormat="1" applyFont="1" applyAlignment="1"/>
    <xf numFmtId="165" fontId="1" fillId="2" borderId="0" xfId="0" applyNumberFormat="1" applyFont="1" applyFill="1" applyAlignment="1">
      <alignment horizontal="center"/>
    </xf>
    <xf numFmtId="165" fontId="2" fillId="0" borderId="0" xfId="0" applyNumberFormat="1" applyFont="1"/>
    <xf numFmtId="165" fontId="2" fillId="3" borderId="0" xfId="0" applyNumberFormat="1" applyFont="1" applyFill="1"/>
    <xf numFmtId="165" fontId="0" fillId="0" borderId="0" xfId="0" applyNumberFormat="1" applyFont="1" applyAlignment="1"/>
    <xf numFmtId="49" fontId="4" fillId="3" borderId="0" xfId="0" applyNumberFormat="1" applyFont="1" applyFill="1"/>
    <xf numFmtId="166" fontId="1" fillId="2" borderId="0" xfId="0" applyNumberFormat="1" applyFont="1" applyFill="1" applyAlignment="1">
      <alignment horizontal="center"/>
    </xf>
    <xf numFmtId="166" fontId="2" fillId="0" borderId="0" xfId="0" applyNumberFormat="1" applyFont="1"/>
    <xf numFmtId="166" fontId="2" fillId="3" borderId="0" xfId="0" applyNumberFormat="1" applyFont="1" applyFill="1"/>
    <xf numFmtId="166" fontId="0" fillId="0" borderId="0" xfId="0" applyNumberFormat="1" applyFont="1" applyAlignment="1"/>
    <xf numFmtId="0" fontId="5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/>
    <xf numFmtId="0" fontId="10" fillId="0" borderId="0" xfId="0" applyFont="1" applyAlignment="1">
      <alignment horizontal="center"/>
    </xf>
    <xf numFmtId="0" fontId="9" fillId="0" borderId="15" xfId="0" applyFont="1" applyBorder="1" applyAlignment="1">
      <alignment horizontal="center"/>
    </xf>
    <xf numFmtId="0" fontId="8" fillId="0" borderId="3" xfId="0" applyFont="1" applyBorder="1" applyAlignment="1"/>
    <xf numFmtId="0" fontId="8" fillId="0" borderId="4" xfId="0" applyFont="1" applyBorder="1" applyAlignment="1"/>
    <xf numFmtId="0" fontId="8" fillId="0" borderId="16" xfId="0" applyFont="1" applyBorder="1" applyAlignment="1"/>
    <xf numFmtId="0" fontId="8" fillId="0" borderId="17" xfId="0" applyFont="1" applyBorder="1" applyAlignment="1"/>
    <xf numFmtId="0" fontId="8" fillId="0" borderId="5" xfId="0" applyFont="1" applyBorder="1" applyAlignment="1"/>
    <xf numFmtId="0" fontId="8" fillId="0" borderId="6" xfId="0" applyFont="1" applyBorder="1" applyAlignment="1"/>
    <xf numFmtId="0" fontId="7" fillId="0" borderId="17" xfId="0" applyFont="1" applyBorder="1" applyAlignment="1"/>
    <xf numFmtId="0" fontId="8" fillId="0" borderId="9" xfId="0" applyFont="1" applyBorder="1" applyAlignment="1"/>
    <xf numFmtId="164" fontId="8" fillId="0" borderId="10" xfId="1" applyNumberFormat="1" applyFont="1" applyBorder="1" applyAlignment="1"/>
    <xf numFmtId="0" fontId="8" fillId="0" borderId="10" xfId="0" applyFont="1" applyBorder="1" applyAlignment="1"/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wrapText="1"/>
    </xf>
    <xf numFmtId="0" fontId="8" fillId="5" borderId="17" xfId="0" applyFont="1" applyFill="1" applyBorder="1" applyAlignment="1">
      <alignment horizontal="center" vertical="top" wrapText="1"/>
    </xf>
    <xf numFmtId="0" fontId="8" fillId="0" borderId="18" xfId="0" applyFont="1" applyBorder="1" applyAlignment="1">
      <alignment horizontal="left" vertical="top" wrapText="1"/>
    </xf>
    <xf numFmtId="0" fontId="8" fillId="0" borderId="9" xfId="0" applyFont="1" applyFill="1" applyBorder="1" applyAlignment="1">
      <alignment wrapText="1"/>
    </xf>
    <xf numFmtId="0" fontId="8" fillId="0" borderId="10" xfId="0" applyFont="1" applyFill="1" applyBorder="1" applyAlignment="1">
      <alignment wrapText="1"/>
    </xf>
    <xf numFmtId="0" fontId="8" fillId="0" borderId="0" xfId="0" applyFont="1" applyBorder="1" applyAlignment="1"/>
    <xf numFmtId="0" fontId="8" fillId="0" borderId="17" xfId="0" applyFont="1" applyBorder="1" applyAlignment="1">
      <alignment vertical="top" wrapText="1"/>
    </xf>
    <xf numFmtId="0" fontId="8" fillId="0" borderId="18" xfId="0" applyFont="1" applyBorder="1" applyAlignment="1"/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15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7" fillId="0" borderId="15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8" fillId="5" borderId="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 wrapText="1"/>
    </xf>
    <xf numFmtId="0" fontId="7" fillId="0" borderId="2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left" wrapText="1"/>
    </xf>
    <xf numFmtId="0" fontId="7" fillId="0" borderId="6" xfId="0" applyFont="1" applyFill="1" applyBorder="1" applyAlignment="1">
      <alignment horizontal="left" wrapText="1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13" xfId="0" applyNumberFormat="1" applyFont="1" applyBorder="1" applyAlignment="1">
      <alignment horizontal="left"/>
    </xf>
    <xf numFmtId="0" fontId="7" fillId="0" borderId="14" xfId="0" applyNumberFormat="1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zoomScale="80" zoomScaleNormal="80" workbookViewId="0">
      <selection activeCell="L4" sqref="L4:M4"/>
    </sheetView>
  </sheetViews>
  <sheetFormatPr defaultColWidth="12.5703125" defaultRowHeight="15" customHeight="1" x14ac:dyDescent="0.2"/>
  <cols>
    <col min="1" max="1" width="12.5703125" style="7"/>
    <col min="2" max="2" width="14.140625" style="7" customWidth="1"/>
    <col min="3" max="3" width="12.5703125" style="7"/>
    <col min="4" max="4" width="12.5703125" style="19"/>
    <col min="5" max="5" width="12.5703125" style="15"/>
    <col min="6" max="6" width="12.5703125" style="7"/>
    <col min="7" max="7" width="17" style="7" customWidth="1"/>
    <col min="8" max="8" width="4.85546875" style="11" bestFit="1" customWidth="1"/>
    <col min="9" max="9" width="15.7109375" style="7" bestFit="1" customWidth="1"/>
    <col min="10" max="10" width="7.7109375" style="24" bestFit="1" customWidth="1"/>
    <col min="12" max="12" width="43.140625" bestFit="1" customWidth="1"/>
    <col min="13" max="13" width="31.5703125" customWidth="1"/>
    <col min="14" max="14" width="20.28515625" bestFit="1" customWidth="1"/>
    <col min="15" max="15" width="49.85546875" bestFit="1" customWidth="1"/>
    <col min="16" max="16" width="22.5703125" customWidth="1"/>
    <col min="18" max="18" width="57" bestFit="1" customWidth="1"/>
    <col min="19" max="19" width="29" customWidth="1"/>
    <col min="20" max="20" width="9.7109375" customWidth="1"/>
    <col min="21" max="21" width="60.5703125" customWidth="1"/>
    <col min="22" max="22" width="22.7109375" customWidth="1"/>
    <col min="24" max="24" width="88.7109375" bestFit="1" customWidth="1"/>
    <col min="25" max="25" width="48.140625" customWidth="1"/>
  </cols>
  <sheetData>
    <row r="1" spans="1:25" ht="15.75" customHeight="1" x14ac:dyDescent="0.2">
      <c r="A1" s="4" t="s">
        <v>0</v>
      </c>
      <c r="B1" s="4" t="s">
        <v>1</v>
      </c>
      <c r="C1" s="4" t="s">
        <v>2</v>
      </c>
      <c r="D1" s="16" t="s">
        <v>3</v>
      </c>
      <c r="E1" s="12" t="s">
        <v>4</v>
      </c>
      <c r="F1" s="4" t="s">
        <v>5</v>
      </c>
      <c r="G1" s="4" t="s">
        <v>115</v>
      </c>
      <c r="H1" s="8" t="s">
        <v>124</v>
      </c>
      <c r="I1" s="4" t="s">
        <v>125</v>
      </c>
      <c r="J1" s="21" t="s">
        <v>126</v>
      </c>
      <c r="K1" s="1"/>
    </row>
    <row r="2" spans="1:25" ht="15.75" x14ac:dyDescent="0.25">
      <c r="A2" s="5" t="s">
        <v>6</v>
      </c>
      <c r="B2" s="5" t="s">
        <v>7</v>
      </c>
      <c r="C2" s="5" t="s">
        <v>8</v>
      </c>
      <c r="D2" s="17">
        <v>1000</v>
      </c>
      <c r="E2" s="13">
        <v>30</v>
      </c>
      <c r="F2" s="5" t="s">
        <v>9</v>
      </c>
      <c r="G2" s="5" t="str">
        <f>IF(D2&gt;=500,"High Price","Standard Price")</f>
        <v>High Price</v>
      </c>
      <c r="H2" s="9" t="str" cm="1">
        <f t="array" ref="H2:H35">LEFT(A2:A35, 2)</f>
        <v>28</v>
      </c>
      <c r="I2" s="5" t="str" cm="1">
        <f t="array" ref="I2:I35">RIGHT(A2:A35, 2)</f>
        <v>US</v>
      </c>
      <c r="J2" s="22" t="str" cm="1">
        <f t="array" ref="J2:J35">MID(A2:A35,4,3)</f>
        <v>JAN</v>
      </c>
      <c r="K2" s="2"/>
      <c r="L2" s="61" t="s">
        <v>93</v>
      </c>
      <c r="M2" s="61"/>
      <c r="N2" s="61"/>
      <c r="O2" s="61"/>
      <c r="P2" s="26"/>
      <c r="Q2" s="27"/>
      <c r="R2" s="27"/>
      <c r="S2" s="27"/>
      <c r="T2" s="27"/>
      <c r="U2" s="27"/>
      <c r="V2" s="27"/>
      <c r="W2" s="27"/>
      <c r="X2" s="27"/>
      <c r="Y2" s="27"/>
    </row>
    <row r="3" spans="1:25" ht="15.75" customHeight="1" thickBot="1" x14ac:dyDescent="0.25">
      <c r="A3" s="6" t="s">
        <v>10</v>
      </c>
      <c r="B3" s="20" t="s">
        <v>11</v>
      </c>
      <c r="C3" s="6" t="s">
        <v>12</v>
      </c>
      <c r="D3" s="18">
        <v>80</v>
      </c>
      <c r="E3" s="14">
        <v>15</v>
      </c>
      <c r="F3" s="6" t="s">
        <v>13</v>
      </c>
      <c r="G3" s="6" t="str">
        <f t="shared" ref="G3:G35" si="0">IF(D3&gt;=500,"High Price","Standard Price")</f>
        <v>Standard Price</v>
      </c>
      <c r="H3" s="10" t="str">
        <v>15</v>
      </c>
      <c r="I3" s="20" t="str">
        <v>US</v>
      </c>
      <c r="J3" s="23" t="str">
        <v>FEB</v>
      </c>
      <c r="K3" s="2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spans="1:25" ht="15.75" customHeight="1" thickBot="1" x14ac:dyDescent="0.3">
      <c r="A4" s="5" t="s">
        <v>14</v>
      </c>
      <c r="B4" s="5" t="s">
        <v>15</v>
      </c>
      <c r="C4" s="5" t="s">
        <v>16</v>
      </c>
      <c r="D4" s="17">
        <v>130</v>
      </c>
      <c r="E4" s="13">
        <v>40</v>
      </c>
      <c r="F4" s="5" t="s">
        <v>17</v>
      </c>
      <c r="G4" s="5" t="str">
        <f t="shared" si="0"/>
        <v>Standard Price</v>
      </c>
      <c r="H4" s="9" t="str">
        <v>03</v>
      </c>
      <c r="I4" s="5" t="str">
        <v>US</v>
      </c>
      <c r="J4" s="22" t="str">
        <v>MAR</v>
      </c>
      <c r="K4" s="2"/>
      <c r="L4" s="70" t="s">
        <v>101</v>
      </c>
      <c r="M4" s="71"/>
      <c r="N4" s="28"/>
      <c r="O4" s="49" t="s">
        <v>107</v>
      </c>
      <c r="P4" s="50"/>
      <c r="Q4" s="28"/>
      <c r="R4" s="49" t="s">
        <v>94</v>
      </c>
      <c r="S4" s="50"/>
      <c r="T4" s="28"/>
      <c r="U4" s="51" t="s">
        <v>95</v>
      </c>
      <c r="V4" s="52"/>
      <c r="W4" s="28"/>
      <c r="X4" s="29" t="s">
        <v>96</v>
      </c>
      <c r="Y4" s="27"/>
    </row>
    <row r="5" spans="1:25" ht="15.75" customHeight="1" thickBot="1" x14ac:dyDescent="0.25">
      <c r="A5" s="6" t="s">
        <v>18</v>
      </c>
      <c r="B5" s="6" t="s">
        <v>19</v>
      </c>
      <c r="C5" s="6" t="s">
        <v>20</v>
      </c>
      <c r="D5" s="18">
        <v>900</v>
      </c>
      <c r="E5" s="14">
        <v>25</v>
      </c>
      <c r="F5" s="6" t="s">
        <v>9</v>
      </c>
      <c r="G5" s="6" t="str">
        <f t="shared" si="0"/>
        <v>High Price</v>
      </c>
      <c r="H5" s="10" t="str">
        <v>11</v>
      </c>
      <c r="I5" s="6" t="str">
        <v>US</v>
      </c>
      <c r="J5" s="23" t="str">
        <v>APR</v>
      </c>
      <c r="K5" s="2"/>
      <c r="L5" s="30"/>
      <c r="M5" s="31"/>
      <c r="N5" s="27"/>
      <c r="O5" s="30"/>
      <c r="P5" s="31"/>
      <c r="Q5" s="27"/>
      <c r="R5" s="30"/>
      <c r="S5" s="31"/>
      <c r="T5" s="27"/>
      <c r="U5" s="30"/>
      <c r="V5" s="31"/>
      <c r="W5" s="27"/>
      <c r="X5" s="32"/>
      <c r="Y5" s="27"/>
    </row>
    <row r="6" spans="1:25" ht="15.75" x14ac:dyDescent="0.25">
      <c r="A6" s="5" t="s">
        <v>21</v>
      </c>
      <c r="B6" s="5" t="s">
        <v>22</v>
      </c>
      <c r="C6" s="5" t="s">
        <v>23</v>
      </c>
      <c r="D6" s="17">
        <v>70</v>
      </c>
      <c r="E6" s="13">
        <v>20</v>
      </c>
      <c r="F6" s="5" t="s">
        <v>24</v>
      </c>
      <c r="G6" s="5" t="str">
        <f t="shared" si="0"/>
        <v>Standard Price</v>
      </c>
      <c r="H6" s="9" t="str">
        <v>22</v>
      </c>
      <c r="I6" s="5" t="str">
        <v>US</v>
      </c>
      <c r="J6" s="22" t="str">
        <v>MAY</v>
      </c>
      <c r="K6" s="2"/>
      <c r="L6" s="57" t="s">
        <v>100</v>
      </c>
      <c r="M6" s="58"/>
      <c r="N6" s="27"/>
      <c r="O6" s="74" t="s">
        <v>109</v>
      </c>
      <c r="P6" s="75"/>
      <c r="Q6" s="27"/>
      <c r="R6" s="78" t="s">
        <v>116</v>
      </c>
      <c r="S6" s="79"/>
      <c r="T6" s="27"/>
      <c r="U6" s="57" t="s">
        <v>132</v>
      </c>
      <c r="V6" s="58"/>
      <c r="W6" s="27"/>
      <c r="X6" s="33" t="s">
        <v>131</v>
      </c>
      <c r="Y6" s="27"/>
    </row>
    <row r="7" spans="1:25" ht="15.75" customHeight="1" x14ac:dyDescent="0.25">
      <c r="A7" s="6" t="s">
        <v>25</v>
      </c>
      <c r="B7" s="6" t="s">
        <v>26</v>
      </c>
      <c r="C7" s="6" t="s">
        <v>27</v>
      </c>
      <c r="D7" s="18">
        <v>200</v>
      </c>
      <c r="E7" s="14">
        <v>45</v>
      </c>
      <c r="F7" s="6" t="s">
        <v>9</v>
      </c>
      <c r="G7" s="6" t="str">
        <f t="shared" si="0"/>
        <v>Standard Price</v>
      </c>
      <c r="H7" s="10" t="str">
        <v>07</v>
      </c>
      <c r="I7" s="6" t="str">
        <v>UK</v>
      </c>
      <c r="J7" s="23" t="str">
        <v>JUN</v>
      </c>
      <c r="K7" s="2"/>
      <c r="L7" s="62"/>
      <c r="M7" s="63"/>
      <c r="N7" s="27"/>
      <c r="O7" s="62"/>
      <c r="P7" s="63"/>
      <c r="Q7" s="27"/>
      <c r="R7" s="78" t="s">
        <v>118</v>
      </c>
      <c r="S7" s="79"/>
      <c r="T7" s="27"/>
      <c r="U7" s="34"/>
      <c r="V7" s="35"/>
      <c r="W7" s="27"/>
      <c r="X7" s="36" t="s">
        <v>97</v>
      </c>
      <c r="Y7" s="27"/>
    </row>
    <row r="8" spans="1:25" ht="15.75" customHeight="1" thickBot="1" x14ac:dyDescent="0.3">
      <c r="A8" s="5" t="s">
        <v>28</v>
      </c>
      <c r="B8" s="5" t="s">
        <v>29</v>
      </c>
      <c r="C8" s="5" t="s">
        <v>30</v>
      </c>
      <c r="D8" s="17">
        <v>30</v>
      </c>
      <c r="E8" s="13">
        <v>5</v>
      </c>
      <c r="F8" s="5" t="s">
        <v>13</v>
      </c>
      <c r="G8" s="5" t="str">
        <f t="shared" si="0"/>
        <v>Standard Price</v>
      </c>
      <c r="H8" s="9" t="str">
        <v>19</v>
      </c>
      <c r="I8" s="5" t="str">
        <v>UK</v>
      </c>
      <c r="J8" s="22" t="str">
        <v>JUL</v>
      </c>
      <c r="K8" s="2"/>
      <c r="L8" s="59" t="s">
        <v>98</v>
      </c>
      <c r="M8" s="60"/>
      <c r="N8" s="27"/>
      <c r="O8" s="64" t="s">
        <v>110</v>
      </c>
      <c r="P8" s="65"/>
      <c r="Q8" s="27"/>
      <c r="R8" s="78" t="s">
        <v>117</v>
      </c>
      <c r="S8" s="79"/>
      <c r="T8" s="27"/>
      <c r="U8" s="59" t="s">
        <v>121</v>
      </c>
      <c r="V8" s="60"/>
      <c r="W8" s="27"/>
      <c r="X8" s="32"/>
      <c r="Y8" s="27"/>
    </row>
    <row r="9" spans="1:25" ht="15.75" customHeight="1" thickBot="1" x14ac:dyDescent="0.25">
      <c r="A9" s="6" t="s">
        <v>31</v>
      </c>
      <c r="B9" s="6" t="s">
        <v>32</v>
      </c>
      <c r="C9" s="6" t="s">
        <v>33</v>
      </c>
      <c r="D9" s="18">
        <v>90</v>
      </c>
      <c r="E9" s="14">
        <v>35</v>
      </c>
      <c r="F9" s="6" t="s">
        <v>17</v>
      </c>
      <c r="G9" s="6" t="str">
        <f t="shared" si="0"/>
        <v>Standard Price</v>
      </c>
      <c r="H9" s="10" t="str">
        <v>23</v>
      </c>
      <c r="I9" s="6" t="str">
        <v>UK</v>
      </c>
      <c r="J9" s="23" t="str">
        <v>AUG</v>
      </c>
      <c r="K9" s="2"/>
      <c r="L9" s="37" t="s">
        <v>99</v>
      </c>
      <c r="M9" s="38">
        <f>SUM(D2:D35)</f>
        <v>10100</v>
      </c>
      <c r="N9" s="27"/>
      <c r="O9" s="37" t="s">
        <v>113</v>
      </c>
      <c r="P9" s="39">
        <f>MIN(D2:D35)</f>
        <v>30</v>
      </c>
      <c r="Q9" s="27"/>
      <c r="R9" s="62"/>
      <c r="S9" s="63"/>
      <c r="T9" s="27"/>
      <c r="U9" s="37" t="s">
        <v>122</v>
      </c>
      <c r="V9" s="39">
        <f>SUMIF(F2:F35,"Electronics",D2:D35)</f>
        <v>8050</v>
      </c>
      <c r="W9" s="27"/>
      <c r="X9" s="53" t="s">
        <v>128</v>
      </c>
      <c r="Y9" s="27"/>
    </row>
    <row r="10" spans="1:25" ht="15.75" customHeight="1" thickBot="1" x14ac:dyDescent="0.25">
      <c r="A10" s="5" t="s">
        <v>34</v>
      </c>
      <c r="B10" s="5" t="s">
        <v>35</v>
      </c>
      <c r="C10" s="5" t="s">
        <v>36</v>
      </c>
      <c r="D10" s="17">
        <v>500</v>
      </c>
      <c r="E10" s="13">
        <v>50</v>
      </c>
      <c r="F10" s="5" t="s">
        <v>9</v>
      </c>
      <c r="G10" s="5" t="str">
        <f t="shared" si="0"/>
        <v>High Price</v>
      </c>
      <c r="H10" s="9" t="str">
        <v>05</v>
      </c>
      <c r="I10" s="5" t="str">
        <v>UK</v>
      </c>
      <c r="J10" s="22" t="str">
        <v>SEP</v>
      </c>
      <c r="K10" s="2"/>
      <c r="L10" s="30"/>
      <c r="M10" s="31"/>
      <c r="N10" s="27"/>
      <c r="O10" s="30"/>
      <c r="P10" s="31"/>
      <c r="Q10" s="27"/>
      <c r="R10" s="59" t="s">
        <v>119</v>
      </c>
      <c r="S10" s="60"/>
      <c r="T10" s="27"/>
      <c r="U10" s="30"/>
      <c r="V10" s="31"/>
      <c r="W10" s="27"/>
      <c r="X10" s="54"/>
      <c r="Y10" s="40"/>
    </row>
    <row r="11" spans="1:25" ht="16.5" thickBot="1" x14ac:dyDescent="0.3">
      <c r="A11" s="6" t="s">
        <v>37</v>
      </c>
      <c r="B11" s="6" t="s">
        <v>38</v>
      </c>
      <c r="C11" s="6" t="s">
        <v>39</v>
      </c>
      <c r="D11" s="18">
        <v>130</v>
      </c>
      <c r="E11" s="14">
        <v>10</v>
      </c>
      <c r="F11" s="6" t="s">
        <v>24</v>
      </c>
      <c r="G11" s="6" t="str">
        <f t="shared" si="0"/>
        <v>Standard Price</v>
      </c>
      <c r="H11" s="10" t="str">
        <v>14</v>
      </c>
      <c r="I11" s="6" t="str">
        <v>UK</v>
      </c>
      <c r="J11" s="23" t="str">
        <v>OCT</v>
      </c>
      <c r="K11" s="2"/>
      <c r="L11" s="66" t="s">
        <v>102</v>
      </c>
      <c r="M11" s="67"/>
      <c r="N11" s="27"/>
      <c r="O11" s="76" t="s">
        <v>108</v>
      </c>
      <c r="P11" s="77"/>
      <c r="Q11" s="27"/>
      <c r="R11" s="37" t="s">
        <v>120</v>
      </c>
      <c r="S11" s="39"/>
      <c r="T11" s="27"/>
      <c r="U11" s="57" t="s">
        <v>133</v>
      </c>
      <c r="V11" s="58"/>
      <c r="W11" s="27"/>
      <c r="X11" s="41"/>
      <c r="Y11" s="40"/>
    </row>
    <row r="12" spans="1:25" ht="15.75" customHeight="1" x14ac:dyDescent="0.25">
      <c r="A12" s="5" t="s">
        <v>40</v>
      </c>
      <c r="B12" s="5" t="s">
        <v>7</v>
      </c>
      <c r="C12" s="5" t="s">
        <v>41</v>
      </c>
      <c r="D12" s="17">
        <v>950</v>
      </c>
      <c r="E12" s="13">
        <v>25</v>
      </c>
      <c r="F12" s="5" t="s">
        <v>9</v>
      </c>
      <c r="G12" s="5" t="str">
        <f t="shared" si="0"/>
        <v>High Price</v>
      </c>
      <c r="H12" s="9" t="str">
        <v>17</v>
      </c>
      <c r="I12" s="5" t="str">
        <v>IN</v>
      </c>
      <c r="J12" s="22" t="str">
        <v>JUN</v>
      </c>
      <c r="K12" s="2"/>
      <c r="L12" s="68"/>
      <c r="M12" s="69"/>
      <c r="N12" s="27"/>
      <c r="O12" s="62"/>
      <c r="P12" s="63"/>
      <c r="Q12" s="27"/>
      <c r="R12" s="27"/>
      <c r="S12" s="27"/>
      <c r="T12" s="27"/>
      <c r="U12" s="34"/>
      <c r="V12" s="35"/>
      <c r="W12" s="27"/>
      <c r="X12" s="42" t="s">
        <v>138</v>
      </c>
      <c r="Y12" s="40"/>
    </row>
    <row r="13" spans="1:25" ht="16.5" thickBot="1" x14ac:dyDescent="0.25">
      <c r="A13" s="6" t="s">
        <v>42</v>
      </c>
      <c r="B13" s="6" t="s">
        <v>11</v>
      </c>
      <c r="C13" s="6" t="s">
        <v>30</v>
      </c>
      <c r="D13" s="18">
        <v>90</v>
      </c>
      <c r="E13" s="14">
        <v>40</v>
      </c>
      <c r="F13" s="6" t="s">
        <v>13</v>
      </c>
      <c r="G13" s="6" t="str">
        <f t="shared" si="0"/>
        <v>Standard Price</v>
      </c>
      <c r="H13" s="10" t="str">
        <v>25</v>
      </c>
      <c r="I13" s="6" t="str">
        <v>AU</v>
      </c>
      <c r="J13" s="23" t="str">
        <v>NOV</v>
      </c>
      <c r="K13" s="2"/>
      <c r="L13" s="59" t="s">
        <v>103</v>
      </c>
      <c r="M13" s="60"/>
      <c r="N13" s="27"/>
      <c r="O13" s="64" t="s">
        <v>111</v>
      </c>
      <c r="P13" s="65"/>
      <c r="Q13" s="27"/>
      <c r="R13" s="27"/>
      <c r="S13" s="27"/>
      <c r="T13" s="27"/>
      <c r="U13" s="59" t="s">
        <v>123</v>
      </c>
      <c r="V13" s="60"/>
      <c r="W13" s="27"/>
      <c r="X13" s="43" t="s">
        <v>135</v>
      </c>
      <c r="Y13" s="40"/>
    </row>
    <row r="14" spans="1:25" ht="15.75" customHeight="1" thickBot="1" x14ac:dyDescent="0.25">
      <c r="A14" s="5" t="s">
        <v>43</v>
      </c>
      <c r="B14" s="5" t="s">
        <v>15</v>
      </c>
      <c r="C14" s="5" t="s">
        <v>44</v>
      </c>
      <c r="D14" s="17">
        <v>120</v>
      </c>
      <c r="E14" s="13">
        <v>35</v>
      </c>
      <c r="F14" s="5" t="s">
        <v>17</v>
      </c>
      <c r="G14" s="5" t="str">
        <f t="shared" si="0"/>
        <v>Standard Price</v>
      </c>
      <c r="H14" s="9" t="str">
        <v>08</v>
      </c>
      <c r="I14" s="5" t="str">
        <v>DE</v>
      </c>
      <c r="J14" s="22" t="str">
        <v>DEC</v>
      </c>
      <c r="K14" s="2"/>
      <c r="L14" s="44" t="s">
        <v>104</v>
      </c>
      <c r="M14" s="45">
        <f>COUNT(E2:E35)</f>
        <v>34</v>
      </c>
      <c r="N14" s="27"/>
      <c r="O14" s="37" t="s">
        <v>112</v>
      </c>
      <c r="P14" s="39">
        <f>MAX(D2:D35)</f>
        <v>1000</v>
      </c>
      <c r="Q14" s="27"/>
      <c r="R14" s="46"/>
      <c r="S14" s="46"/>
      <c r="T14" s="27"/>
      <c r="U14" s="37" t="s">
        <v>134</v>
      </c>
      <c r="V14" s="39">
        <f>COUNTIF(D2:D35,"&gt;100")</f>
        <v>22</v>
      </c>
      <c r="W14" s="27"/>
      <c r="X14" s="32"/>
      <c r="Y14" s="27"/>
    </row>
    <row r="15" spans="1:25" ht="15.75" customHeight="1" thickBot="1" x14ac:dyDescent="0.25">
      <c r="A15" s="6" t="s">
        <v>45</v>
      </c>
      <c r="B15" s="6" t="s">
        <v>46</v>
      </c>
      <c r="C15" s="6" t="s">
        <v>47</v>
      </c>
      <c r="D15" s="18">
        <v>150</v>
      </c>
      <c r="E15" s="14">
        <v>15</v>
      </c>
      <c r="F15" s="6" t="s">
        <v>9</v>
      </c>
      <c r="G15" s="6" t="str">
        <f t="shared" si="0"/>
        <v>Standard Price</v>
      </c>
      <c r="H15" s="10" t="str">
        <v>18</v>
      </c>
      <c r="I15" s="6" t="str">
        <v>CA</v>
      </c>
      <c r="J15" s="23" t="str">
        <v>FEB</v>
      </c>
      <c r="K15" s="2"/>
      <c r="L15" s="30"/>
      <c r="M15" s="31"/>
      <c r="N15" s="27"/>
      <c r="O15" s="27"/>
      <c r="P15" s="27"/>
      <c r="Q15" s="27"/>
      <c r="R15" s="46"/>
      <c r="S15" s="46"/>
      <c r="T15" s="27"/>
      <c r="U15" s="27"/>
      <c r="V15" s="27"/>
      <c r="W15" s="27"/>
      <c r="X15" s="55" t="s">
        <v>127</v>
      </c>
      <c r="Y15" s="40"/>
    </row>
    <row r="16" spans="1:25" ht="15.75" customHeight="1" x14ac:dyDescent="0.25">
      <c r="A16" s="5" t="s">
        <v>48</v>
      </c>
      <c r="B16" s="5" t="s">
        <v>26</v>
      </c>
      <c r="C16" s="5" t="s">
        <v>49</v>
      </c>
      <c r="D16" s="17">
        <v>250</v>
      </c>
      <c r="E16" s="13">
        <v>20</v>
      </c>
      <c r="F16" s="5" t="s">
        <v>9</v>
      </c>
      <c r="G16" s="5" t="str">
        <f t="shared" si="0"/>
        <v>Standard Price</v>
      </c>
      <c r="H16" s="9" t="str">
        <v>16</v>
      </c>
      <c r="I16" s="5" t="str">
        <v>ES</v>
      </c>
      <c r="J16" s="22" t="str">
        <v>APR</v>
      </c>
      <c r="K16" s="2"/>
      <c r="L16" s="66" t="s">
        <v>105</v>
      </c>
      <c r="M16" s="67"/>
      <c r="N16" s="27"/>
      <c r="O16" s="27"/>
      <c r="P16" s="27"/>
      <c r="Q16" s="27"/>
      <c r="R16" s="46"/>
      <c r="S16" s="46"/>
      <c r="T16" s="27"/>
      <c r="U16" s="27"/>
      <c r="V16" s="27"/>
      <c r="W16" s="27"/>
      <c r="X16" s="56"/>
      <c r="Y16" s="40"/>
    </row>
    <row r="17" spans="1:25" ht="15.75" customHeight="1" x14ac:dyDescent="0.2">
      <c r="A17" s="6" t="s">
        <v>50</v>
      </c>
      <c r="B17" s="6" t="s">
        <v>51</v>
      </c>
      <c r="C17" s="6" t="s">
        <v>52</v>
      </c>
      <c r="D17" s="18">
        <v>50</v>
      </c>
      <c r="E17" s="14">
        <v>35</v>
      </c>
      <c r="F17" s="6" t="s">
        <v>53</v>
      </c>
      <c r="G17" s="6" t="str">
        <f t="shared" si="0"/>
        <v>Standard Price</v>
      </c>
      <c r="H17" s="10" t="str">
        <v>21</v>
      </c>
      <c r="I17" s="6" t="str">
        <v>CA</v>
      </c>
      <c r="J17" s="23" t="str">
        <v>AUG</v>
      </c>
      <c r="K17" s="2"/>
      <c r="L17" s="62"/>
      <c r="M17" s="63"/>
      <c r="N17" s="27"/>
      <c r="O17" s="27"/>
      <c r="P17" s="27"/>
      <c r="Q17" s="27"/>
      <c r="R17" s="46"/>
      <c r="S17" s="46"/>
      <c r="T17" s="27"/>
      <c r="U17" s="27"/>
      <c r="V17" s="27"/>
      <c r="W17" s="27"/>
      <c r="X17" s="47"/>
      <c r="Y17" s="40"/>
    </row>
    <row r="18" spans="1:25" x14ac:dyDescent="0.2">
      <c r="A18" s="5" t="s">
        <v>54</v>
      </c>
      <c r="B18" s="5" t="s">
        <v>46</v>
      </c>
      <c r="C18" s="5" t="s">
        <v>55</v>
      </c>
      <c r="D18" s="17">
        <v>160</v>
      </c>
      <c r="E18" s="13">
        <v>15</v>
      </c>
      <c r="F18" s="5" t="s">
        <v>9</v>
      </c>
      <c r="G18" s="5" t="str">
        <f t="shared" si="0"/>
        <v>Standard Price</v>
      </c>
      <c r="H18" s="9" t="str">
        <v>20</v>
      </c>
      <c r="I18" s="5" t="str">
        <v>CN</v>
      </c>
      <c r="J18" s="22" t="str">
        <v>AUG</v>
      </c>
      <c r="K18" s="2"/>
      <c r="L18" s="64" t="s">
        <v>106</v>
      </c>
      <c r="M18" s="65"/>
      <c r="N18" s="27"/>
      <c r="O18" s="27"/>
      <c r="P18" s="27"/>
      <c r="Q18" s="27"/>
      <c r="R18" s="46"/>
      <c r="S18" s="46"/>
      <c r="T18" s="27"/>
      <c r="U18" s="27"/>
      <c r="V18" s="27"/>
      <c r="W18" s="27"/>
      <c r="X18" s="42" t="s">
        <v>139</v>
      </c>
      <c r="Y18" s="40"/>
    </row>
    <row r="19" spans="1:25" ht="15.75" customHeight="1" thickBot="1" x14ac:dyDescent="0.25">
      <c r="A19" s="6" t="s">
        <v>56</v>
      </c>
      <c r="B19" s="6" t="s">
        <v>7</v>
      </c>
      <c r="C19" s="6" t="s">
        <v>57</v>
      </c>
      <c r="D19" s="18">
        <v>980</v>
      </c>
      <c r="E19" s="14">
        <v>10</v>
      </c>
      <c r="F19" s="6" t="s">
        <v>9</v>
      </c>
      <c r="G19" s="6" t="str">
        <f t="shared" si="0"/>
        <v>High Price</v>
      </c>
      <c r="H19" s="10" t="str">
        <v>27</v>
      </c>
      <c r="I19" s="6" t="str">
        <v>IT</v>
      </c>
      <c r="J19" s="23" t="str">
        <v>JAN</v>
      </c>
      <c r="K19" s="2"/>
      <c r="L19" s="72" t="s">
        <v>114</v>
      </c>
      <c r="M19" s="35">
        <f>AVERAGE(D2:D35)</f>
        <v>297.05882352941177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43" t="s">
        <v>136</v>
      </c>
      <c r="Y19" s="27"/>
    </row>
    <row r="20" spans="1:25" ht="15.75" customHeight="1" thickBot="1" x14ac:dyDescent="0.25">
      <c r="A20" s="5" t="s">
        <v>58</v>
      </c>
      <c r="B20" s="5" t="s">
        <v>59</v>
      </c>
      <c r="C20" s="5" t="s">
        <v>60</v>
      </c>
      <c r="D20" s="17">
        <v>150</v>
      </c>
      <c r="E20" s="13">
        <v>15</v>
      </c>
      <c r="F20" s="5" t="s">
        <v>13</v>
      </c>
      <c r="G20" s="5" t="str">
        <f t="shared" si="0"/>
        <v>Standard Price</v>
      </c>
      <c r="H20" s="9" t="str">
        <v>01</v>
      </c>
      <c r="I20" s="5" t="str">
        <v>UK</v>
      </c>
      <c r="J20" s="22" t="str">
        <v>MAR</v>
      </c>
      <c r="K20" s="2"/>
      <c r="L20" s="73"/>
      <c r="M20" s="39">
        <f>SUM(D2:D35)/34</f>
        <v>297.05882352941177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32"/>
      <c r="Y20" s="40"/>
    </row>
    <row r="21" spans="1:25" ht="15.75" customHeight="1" x14ac:dyDescent="0.2">
      <c r="A21" s="6" t="s">
        <v>61</v>
      </c>
      <c r="B21" s="6" t="s">
        <v>62</v>
      </c>
      <c r="C21" s="6" t="s">
        <v>63</v>
      </c>
      <c r="D21" s="18">
        <v>200</v>
      </c>
      <c r="E21" s="14">
        <v>10</v>
      </c>
      <c r="F21" s="6" t="s">
        <v>24</v>
      </c>
      <c r="G21" s="6" t="str">
        <f t="shared" si="0"/>
        <v>Standard Price</v>
      </c>
      <c r="H21" s="10" t="str">
        <v>14</v>
      </c>
      <c r="I21" s="6" t="str">
        <v>US</v>
      </c>
      <c r="J21" s="23" t="str">
        <v>AUG</v>
      </c>
      <c r="K21" s="2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55" t="s">
        <v>129</v>
      </c>
      <c r="Y21" s="40"/>
    </row>
    <row r="22" spans="1:25" ht="15.75" customHeight="1" x14ac:dyDescent="0.2">
      <c r="A22" s="5" t="s">
        <v>64</v>
      </c>
      <c r="B22" s="5" t="s">
        <v>65</v>
      </c>
      <c r="C22" s="5" t="s">
        <v>66</v>
      </c>
      <c r="D22" s="17">
        <v>700</v>
      </c>
      <c r="E22" s="13">
        <v>50</v>
      </c>
      <c r="F22" s="5" t="s">
        <v>9</v>
      </c>
      <c r="G22" s="5" t="str">
        <f t="shared" si="0"/>
        <v>High Price</v>
      </c>
      <c r="H22" s="9" t="str">
        <v>14</v>
      </c>
      <c r="I22" s="5" t="str">
        <v>RU</v>
      </c>
      <c r="J22" s="22" t="str">
        <v>MAY</v>
      </c>
      <c r="K22" s="2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56"/>
      <c r="Y22" s="27"/>
    </row>
    <row r="23" spans="1:25" x14ac:dyDescent="0.2">
      <c r="A23" s="6" t="s">
        <v>67</v>
      </c>
      <c r="B23" s="6" t="s">
        <v>68</v>
      </c>
      <c r="C23" s="6" t="s">
        <v>69</v>
      </c>
      <c r="D23" s="18">
        <v>80</v>
      </c>
      <c r="E23" s="14">
        <v>20</v>
      </c>
      <c r="F23" s="6" t="s">
        <v>17</v>
      </c>
      <c r="G23" s="6" t="str">
        <f t="shared" si="0"/>
        <v>Standard Price</v>
      </c>
      <c r="H23" s="10" t="str">
        <v>09</v>
      </c>
      <c r="I23" s="6" t="str">
        <v>CA</v>
      </c>
      <c r="J23" s="23" t="str">
        <v>JAN</v>
      </c>
      <c r="K23" s="2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47"/>
      <c r="Y23" s="27"/>
    </row>
    <row r="24" spans="1:25" ht="15.75" customHeight="1" x14ac:dyDescent="0.2">
      <c r="A24" s="5" t="s">
        <v>70</v>
      </c>
      <c r="B24" s="5" t="s">
        <v>71</v>
      </c>
      <c r="C24" s="5" t="s">
        <v>72</v>
      </c>
      <c r="D24" s="17">
        <v>150</v>
      </c>
      <c r="E24" s="13">
        <v>30</v>
      </c>
      <c r="F24" s="5" t="s">
        <v>9</v>
      </c>
      <c r="G24" s="5" t="str">
        <f t="shared" si="0"/>
        <v>Standard Price</v>
      </c>
      <c r="H24" s="9" t="str">
        <v>19</v>
      </c>
      <c r="I24" s="5" t="str">
        <v>BR</v>
      </c>
      <c r="J24" s="22" t="str">
        <v>JUL</v>
      </c>
      <c r="K24" s="2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42" t="s">
        <v>130</v>
      </c>
      <c r="Y24" s="27"/>
    </row>
    <row r="25" spans="1:25" ht="15.75" customHeight="1" thickBot="1" x14ac:dyDescent="0.3">
      <c r="A25" s="6" t="s">
        <v>50</v>
      </c>
      <c r="B25" s="6" t="s">
        <v>51</v>
      </c>
      <c r="C25" s="6" t="s">
        <v>52</v>
      </c>
      <c r="D25" s="18">
        <v>50</v>
      </c>
      <c r="E25" s="14">
        <v>35</v>
      </c>
      <c r="F25" s="6" t="s">
        <v>53</v>
      </c>
      <c r="G25" s="6" t="str">
        <f t="shared" si="0"/>
        <v>Standard Price</v>
      </c>
      <c r="H25" s="10" t="str">
        <v>21</v>
      </c>
      <c r="I25" s="6" t="str">
        <v>CA</v>
      </c>
      <c r="J25" s="23" t="str">
        <v>AUG</v>
      </c>
      <c r="K25" s="3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48" t="s">
        <v>137</v>
      </c>
      <c r="Y25" s="27"/>
    </row>
    <row r="26" spans="1:25" ht="15.75" customHeight="1" x14ac:dyDescent="0.2">
      <c r="A26" s="5" t="s">
        <v>73</v>
      </c>
      <c r="B26" s="5" t="s">
        <v>19</v>
      </c>
      <c r="C26" s="5" t="s">
        <v>74</v>
      </c>
      <c r="D26" s="17">
        <v>800</v>
      </c>
      <c r="E26" s="13">
        <v>45</v>
      </c>
      <c r="F26" s="5" t="s">
        <v>9</v>
      </c>
      <c r="G26" s="5" t="str">
        <f t="shared" si="0"/>
        <v>High Price</v>
      </c>
      <c r="H26" s="9" t="str">
        <v>29</v>
      </c>
      <c r="I26" s="5" t="str">
        <v>CA</v>
      </c>
      <c r="J26" s="22" t="str">
        <v>SEP</v>
      </c>
      <c r="K26" s="2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15.75" customHeight="1" x14ac:dyDescent="0.25">
      <c r="A27" s="6" t="s">
        <v>75</v>
      </c>
      <c r="B27" s="6" t="s">
        <v>59</v>
      </c>
      <c r="C27" s="6" t="s">
        <v>76</v>
      </c>
      <c r="D27" s="18">
        <v>130</v>
      </c>
      <c r="E27" s="14">
        <v>25</v>
      </c>
      <c r="F27" s="6" t="s">
        <v>13</v>
      </c>
      <c r="G27" s="6" t="str">
        <f t="shared" si="0"/>
        <v>Standard Price</v>
      </c>
      <c r="H27" s="10" t="str">
        <v>03</v>
      </c>
      <c r="I27" s="6" t="str">
        <v>CA</v>
      </c>
      <c r="J27" s="23" t="str">
        <v>JUN</v>
      </c>
      <c r="K27" s="2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5" ht="15.75" customHeight="1" x14ac:dyDescent="0.25">
      <c r="A28" s="5" t="s">
        <v>77</v>
      </c>
      <c r="B28" s="5" t="s">
        <v>32</v>
      </c>
      <c r="C28" s="5" t="s">
        <v>78</v>
      </c>
      <c r="D28" s="17">
        <v>400</v>
      </c>
      <c r="E28" s="13">
        <v>40</v>
      </c>
      <c r="F28" s="5" t="s">
        <v>17</v>
      </c>
      <c r="G28" s="5" t="str">
        <f t="shared" si="0"/>
        <v>Standard Price</v>
      </c>
      <c r="H28" s="9" t="str">
        <v>11</v>
      </c>
      <c r="I28" s="5" t="str">
        <v>CA</v>
      </c>
      <c r="J28" s="22" t="str">
        <v>JUL</v>
      </c>
      <c r="K28" s="2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5" ht="15.75" customHeight="1" x14ac:dyDescent="0.2">
      <c r="A29" s="6" t="s">
        <v>48</v>
      </c>
      <c r="B29" s="6" t="s">
        <v>26</v>
      </c>
      <c r="C29" s="6" t="s">
        <v>49</v>
      </c>
      <c r="D29" s="18">
        <v>230</v>
      </c>
      <c r="E29" s="14">
        <v>20</v>
      </c>
      <c r="F29" s="6" t="s">
        <v>9</v>
      </c>
      <c r="G29" s="6" t="str">
        <f t="shared" si="0"/>
        <v>Standard Price</v>
      </c>
      <c r="H29" s="10" t="str">
        <v>16</v>
      </c>
      <c r="I29" s="6" t="str">
        <v>ES</v>
      </c>
      <c r="J29" s="23" t="str">
        <v>APR</v>
      </c>
      <c r="K29" s="3"/>
    </row>
    <row r="30" spans="1:25" ht="15.75" customHeight="1" x14ac:dyDescent="0.2">
      <c r="A30" s="5" t="s">
        <v>79</v>
      </c>
      <c r="B30" s="5" t="s">
        <v>80</v>
      </c>
      <c r="C30" s="5" t="s">
        <v>81</v>
      </c>
      <c r="D30" s="17">
        <v>60</v>
      </c>
      <c r="E30" s="13">
        <v>30</v>
      </c>
      <c r="F30" s="5" t="s">
        <v>13</v>
      </c>
      <c r="G30" s="5" t="str">
        <f t="shared" si="0"/>
        <v>Standard Price</v>
      </c>
      <c r="H30" s="9" t="str">
        <v>07</v>
      </c>
      <c r="I30" s="5" t="str">
        <v>CA</v>
      </c>
      <c r="J30" s="22" t="str">
        <v>MAR</v>
      </c>
      <c r="K30" s="2"/>
    </row>
    <row r="31" spans="1:25" ht="15.75" customHeight="1" x14ac:dyDescent="0.2">
      <c r="A31" s="6" t="s">
        <v>82</v>
      </c>
      <c r="B31" s="6" t="s">
        <v>83</v>
      </c>
      <c r="C31" s="6" t="s">
        <v>84</v>
      </c>
      <c r="D31" s="18">
        <v>40</v>
      </c>
      <c r="E31" s="14">
        <v>10</v>
      </c>
      <c r="F31" s="6" t="s">
        <v>17</v>
      </c>
      <c r="G31" s="6" t="str">
        <f t="shared" si="0"/>
        <v>Standard Price</v>
      </c>
      <c r="H31" s="10" t="str">
        <v>13</v>
      </c>
      <c r="I31" s="6" t="str">
        <v>CA</v>
      </c>
      <c r="J31" s="23" t="str">
        <v>APR</v>
      </c>
      <c r="K31" s="2"/>
    </row>
    <row r="32" spans="1:25" ht="15.75" customHeight="1" x14ac:dyDescent="0.2">
      <c r="A32" s="5" t="s">
        <v>85</v>
      </c>
      <c r="B32" s="5" t="s">
        <v>71</v>
      </c>
      <c r="C32" s="5" t="s">
        <v>86</v>
      </c>
      <c r="D32" s="17">
        <v>130</v>
      </c>
      <c r="E32" s="13">
        <v>5</v>
      </c>
      <c r="F32" s="5" t="s">
        <v>9</v>
      </c>
      <c r="G32" s="5" t="str">
        <f t="shared" si="0"/>
        <v>Standard Price</v>
      </c>
      <c r="H32" s="9" t="str">
        <v>24</v>
      </c>
      <c r="I32" s="5" t="str">
        <v>CA</v>
      </c>
      <c r="J32" s="22" t="str">
        <v>MAY</v>
      </c>
      <c r="K32" s="2"/>
    </row>
    <row r="33" spans="1:11" ht="15.75" customHeight="1" x14ac:dyDescent="0.2">
      <c r="A33" s="6" t="s">
        <v>87</v>
      </c>
      <c r="B33" s="6" t="s">
        <v>88</v>
      </c>
      <c r="C33" s="6" t="s">
        <v>89</v>
      </c>
      <c r="D33" s="18">
        <v>50</v>
      </c>
      <c r="E33" s="14">
        <v>50</v>
      </c>
      <c r="F33" s="6" t="s">
        <v>13</v>
      </c>
      <c r="G33" s="6" t="str">
        <f t="shared" si="0"/>
        <v>Standard Price</v>
      </c>
      <c r="H33" s="10" t="str">
        <v>02</v>
      </c>
      <c r="I33" s="6" t="str">
        <v>CA</v>
      </c>
      <c r="J33" s="23" t="str">
        <v>DEC</v>
      </c>
      <c r="K33" s="2"/>
    </row>
    <row r="34" spans="1:11" ht="15.75" customHeight="1" x14ac:dyDescent="0.2">
      <c r="A34" s="5" t="s">
        <v>40</v>
      </c>
      <c r="B34" s="5" t="s">
        <v>7</v>
      </c>
      <c r="C34" s="5" t="s">
        <v>41</v>
      </c>
      <c r="D34" s="17">
        <v>950</v>
      </c>
      <c r="E34" s="13">
        <v>25</v>
      </c>
      <c r="F34" s="5" t="s">
        <v>9</v>
      </c>
      <c r="G34" s="5" t="str">
        <f t="shared" si="0"/>
        <v>High Price</v>
      </c>
      <c r="H34" s="9" t="str">
        <v>17</v>
      </c>
      <c r="I34" s="5" t="str">
        <v>IN</v>
      </c>
      <c r="J34" s="22" t="str">
        <v>JUN</v>
      </c>
      <c r="K34" s="2"/>
    </row>
    <row r="35" spans="1:11" ht="15.75" customHeight="1" x14ac:dyDescent="0.2">
      <c r="A35" s="6" t="s">
        <v>90</v>
      </c>
      <c r="B35" s="6" t="s">
        <v>91</v>
      </c>
      <c r="C35" s="6" t="s">
        <v>92</v>
      </c>
      <c r="D35" s="18">
        <v>100</v>
      </c>
      <c r="E35" s="14">
        <v>20</v>
      </c>
      <c r="F35" s="6" t="s">
        <v>53</v>
      </c>
      <c r="G35" s="6" t="str">
        <f t="shared" si="0"/>
        <v>Standard Price</v>
      </c>
      <c r="H35" s="10" t="str">
        <v>09</v>
      </c>
      <c r="I35" s="6" t="str">
        <v>FR</v>
      </c>
      <c r="J35" s="23" t="str">
        <v>JUL</v>
      </c>
      <c r="K35" s="2"/>
    </row>
    <row r="36" spans="1:11" ht="15.75" customHeight="1" x14ac:dyDescent="0.2"/>
    <row r="37" spans="1:11" ht="15.75" customHeight="1" x14ac:dyDescent="0.2"/>
    <row r="38" spans="1:11" ht="15.75" customHeight="1" x14ac:dyDescent="0.2"/>
    <row r="39" spans="1:11" ht="15.75" customHeight="1" x14ac:dyDescent="0.2"/>
    <row r="40" spans="1:11" ht="15.75" customHeight="1" x14ac:dyDescent="0.2"/>
    <row r="41" spans="1:11" ht="15.75" customHeight="1" x14ac:dyDescent="0.2"/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3">
    <mergeCell ref="L19:L20"/>
    <mergeCell ref="O7:P7"/>
    <mergeCell ref="O6:P6"/>
    <mergeCell ref="O8:P8"/>
    <mergeCell ref="O12:P12"/>
    <mergeCell ref="O13:P13"/>
    <mergeCell ref="O11:P11"/>
    <mergeCell ref="L16:M16"/>
    <mergeCell ref="L2:O2"/>
    <mergeCell ref="L17:M17"/>
    <mergeCell ref="L18:M18"/>
    <mergeCell ref="L6:M6"/>
    <mergeCell ref="L8:M8"/>
    <mergeCell ref="L11:M11"/>
    <mergeCell ref="L13:M13"/>
    <mergeCell ref="L7:M7"/>
    <mergeCell ref="L12:M12"/>
    <mergeCell ref="L4:M4"/>
    <mergeCell ref="O4:P4"/>
    <mergeCell ref="R4:S4"/>
    <mergeCell ref="U4:V4"/>
    <mergeCell ref="X9:X10"/>
    <mergeCell ref="X15:X16"/>
    <mergeCell ref="X21:X22"/>
    <mergeCell ref="U6:V6"/>
    <mergeCell ref="U8:V8"/>
    <mergeCell ref="U11:V11"/>
    <mergeCell ref="U13:V13"/>
    <mergeCell ref="R10:S10"/>
    <mergeCell ref="R9:S9"/>
    <mergeCell ref="R6:S6"/>
    <mergeCell ref="R7:S7"/>
    <mergeCell ref="R8:S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suganthavk@gmail.com</cp:lastModifiedBy>
  <dcterms:modified xsi:type="dcterms:W3CDTF">2026-05-23T09:50:29Z</dcterms:modified>
</cp:coreProperties>
</file>